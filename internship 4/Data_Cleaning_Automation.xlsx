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6b62ed40981632f/Desktop/internship 4/"/>
    </mc:Choice>
  </mc:AlternateContent>
  <xr:revisionPtr revIDLastSave="4" documentId="8_{35602458-3A0A-4B37-A43A-81EF0AC2333A}" xr6:coauthVersionLast="47" xr6:coauthVersionMax="47" xr10:uidLastSave="{0C95BEDD-BF8F-461F-895E-22FDE8CDB682}"/>
  <bookViews>
    <workbookView xWindow="-108" yWindow="-108" windowWidth="23256" windowHeight="12456" activeTab="1" xr2:uid="{00000000-000D-0000-FFFF-FFFF00000000}"/>
  </bookViews>
  <sheets>
    <sheet name="Raw_Data_100" sheetId="1" r:id="rId1"/>
    <sheet name="Sheet1" sheetId="6" r:id="rId2"/>
  </sheets>
  <definedNames>
    <definedName name="_xlnm._FilterDatabase" localSheetId="0" hidden="1">Raw_Data_100!$A$1:$F$86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H5" i="1"/>
  <c r="H2" i="1"/>
</calcChain>
</file>

<file path=xl/sharedStrings.xml><?xml version="1.0" encoding="utf-8"?>
<sst xmlns="http://schemas.openxmlformats.org/spreadsheetml/2006/main" count="368" uniqueCount="134">
  <si>
    <t>Employee_ID</t>
  </si>
  <si>
    <t>Employee_Name</t>
  </si>
  <si>
    <t>Department</t>
  </si>
  <si>
    <t>Monthly_Salary_INR</t>
  </si>
  <si>
    <t>Experience_Years</t>
  </si>
  <si>
    <t>City</t>
  </si>
  <si>
    <t>E001</t>
  </si>
  <si>
    <t>Neha</t>
  </si>
  <si>
    <t>Sales</t>
  </si>
  <si>
    <t>Lucknow</t>
  </si>
  <si>
    <t>E002</t>
  </si>
  <si>
    <t>Pooja</t>
  </si>
  <si>
    <t>HR</t>
  </si>
  <si>
    <t>Gaya</t>
  </si>
  <si>
    <t>E003</t>
  </si>
  <si>
    <t>Sneha</t>
  </si>
  <si>
    <t>Finance</t>
  </si>
  <si>
    <t>E004</t>
  </si>
  <si>
    <t>Vikas</t>
  </si>
  <si>
    <t>E005</t>
  </si>
  <si>
    <t>Nikhil</t>
  </si>
  <si>
    <t>Delhi</t>
  </si>
  <si>
    <t>E006</t>
  </si>
  <si>
    <t>Amit</t>
  </si>
  <si>
    <t>Ranchi</t>
  </si>
  <si>
    <t>E007</t>
  </si>
  <si>
    <t>Arjun</t>
  </si>
  <si>
    <t>E008</t>
  </si>
  <si>
    <t>Rahul</t>
  </si>
  <si>
    <t>E009</t>
  </si>
  <si>
    <t>Varun</t>
  </si>
  <si>
    <t>IT</t>
  </si>
  <si>
    <t>Prayagraj</t>
  </si>
  <si>
    <t>E010</t>
  </si>
  <si>
    <t>E011</t>
  </si>
  <si>
    <t>Priya</t>
  </si>
  <si>
    <t>Operations</t>
  </si>
  <si>
    <t>E013</t>
  </si>
  <si>
    <t>E014</t>
  </si>
  <si>
    <t>Anjali</t>
  </si>
  <si>
    <t>E015</t>
  </si>
  <si>
    <t>Varanasi</t>
  </si>
  <si>
    <t>E016</t>
  </si>
  <si>
    <t>E017</t>
  </si>
  <si>
    <t>Sana</t>
  </si>
  <si>
    <t>E018</t>
  </si>
  <si>
    <t>Rohit</t>
  </si>
  <si>
    <t>E020</t>
  </si>
  <si>
    <t>E021</t>
  </si>
  <si>
    <t>Karan</t>
  </si>
  <si>
    <t>E022</t>
  </si>
  <si>
    <t>Kanpur</t>
  </si>
  <si>
    <t>E023</t>
  </si>
  <si>
    <t>E024</t>
  </si>
  <si>
    <t>E025</t>
  </si>
  <si>
    <t>Simran</t>
  </si>
  <si>
    <t>Marketing</t>
  </si>
  <si>
    <t>E027</t>
  </si>
  <si>
    <t>E028</t>
  </si>
  <si>
    <t>E029</t>
  </si>
  <si>
    <t>Riya</t>
  </si>
  <si>
    <t>E030</t>
  </si>
  <si>
    <t>Kavita</t>
  </si>
  <si>
    <t>E031</t>
  </si>
  <si>
    <t>Patna</t>
  </si>
  <si>
    <t>E032</t>
  </si>
  <si>
    <t>E034</t>
  </si>
  <si>
    <t>E035</t>
  </si>
  <si>
    <t>E036</t>
  </si>
  <si>
    <t>E037</t>
  </si>
  <si>
    <t>E038</t>
  </si>
  <si>
    <t>E039</t>
  </si>
  <si>
    <t>E040</t>
  </si>
  <si>
    <t>E042</t>
  </si>
  <si>
    <t>E043</t>
  </si>
  <si>
    <t>E044</t>
  </si>
  <si>
    <t>E045</t>
  </si>
  <si>
    <t>E046</t>
  </si>
  <si>
    <t>E047</t>
  </si>
  <si>
    <t>Deepak</t>
  </si>
  <si>
    <t>E049</t>
  </si>
  <si>
    <t>E050</t>
  </si>
  <si>
    <t>E051</t>
  </si>
  <si>
    <t>E052</t>
  </si>
  <si>
    <t>E053</t>
  </si>
  <si>
    <t>E054</t>
  </si>
  <si>
    <t>E056</t>
  </si>
  <si>
    <t>Meena</t>
  </si>
  <si>
    <t>E057</t>
  </si>
  <si>
    <t>E058</t>
  </si>
  <si>
    <t>E060</t>
  </si>
  <si>
    <t>E061</t>
  </si>
  <si>
    <t>E062</t>
  </si>
  <si>
    <t>E063</t>
  </si>
  <si>
    <t>E065</t>
  </si>
  <si>
    <t>E066</t>
  </si>
  <si>
    <t>E067</t>
  </si>
  <si>
    <t>E068</t>
  </si>
  <si>
    <t>E069</t>
  </si>
  <si>
    <t>E070</t>
  </si>
  <si>
    <t>E071</t>
  </si>
  <si>
    <t>E073</t>
  </si>
  <si>
    <t>E074</t>
  </si>
  <si>
    <t>E075</t>
  </si>
  <si>
    <t>E076</t>
  </si>
  <si>
    <t>E078</t>
  </si>
  <si>
    <t>E079</t>
  </si>
  <si>
    <t>E080</t>
  </si>
  <si>
    <t>E081</t>
  </si>
  <si>
    <t>E082</t>
  </si>
  <si>
    <t>E084</t>
  </si>
  <si>
    <t>E085</t>
  </si>
  <si>
    <t>E086</t>
  </si>
  <si>
    <t>E087</t>
  </si>
  <si>
    <t>E088</t>
  </si>
  <si>
    <t>E090</t>
  </si>
  <si>
    <t>E091</t>
  </si>
  <si>
    <t>E092</t>
  </si>
  <si>
    <t>E093</t>
  </si>
  <si>
    <t>E095</t>
  </si>
  <si>
    <t>E096</t>
  </si>
  <si>
    <t>E097</t>
  </si>
  <si>
    <t>E099</t>
  </si>
  <si>
    <t>E100</t>
  </si>
  <si>
    <t>Total Employees</t>
  </si>
  <si>
    <t>Total salary paid</t>
  </si>
  <si>
    <t>Dpartment Salary</t>
  </si>
  <si>
    <t>Row Labels</t>
  </si>
  <si>
    <t>Grand Total</t>
  </si>
  <si>
    <t>Sum of Monthly_Salary_INR2</t>
  </si>
  <si>
    <t>(All)</t>
  </si>
  <si>
    <t>Average of Monthly_Salary_INR3</t>
  </si>
  <si>
    <t>Max of Monthly_Salary_INR2</t>
  </si>
  <si>
    <t>Min of Monthly_Salary_INR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</si>
</sst>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0" borderId="0" xfId="0" pivotButton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77-4293-844C-F54F4393F3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77-4293-844C-F54F4393F3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77-4293-844C-F54F4393F3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77-4293-844C-F54F4393F3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77-4293-844C-F54F4393F3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677-4293-844C-F54F4393F3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677-4293-844C-F54F4393F3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677-4293-844C-F54F4393F3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677-4293-844C-F54F4393F3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677-4293-844C-F54F4393F31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677-4293-844C-F54F4393F31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677-4293-844C-F54F4393F3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Raw_Data_100!$H$1:$H$12</c:f>
              <c:strCache>
                <c:ptCount val="12"/>
                <c:pt idx="0">
                  <c:v>Total Employees</c:v>
                </c:pt>
                <c:pt idx="1">
                  <c:v>85</c:v>
                </c:pt>
                <c:pt idx="3">
                  <c:v>Total salary paid</c:v>
                </c:pt>
                <c:pt idx="4">
                  <c:v>₹ 40,12,000.00</c:v>
                </c:pt>
                <c:pt idx="6">
                  <c:v>Dpartment Salary</c:v>
                </c:pt>
                <c:pt idx="7">
                  <c:v>Sales</c:v>
                </c:pt>
                <c:pt idx="8">
                  <c:v>HR</c:v>
                </c:pt>
                <c:pt idx="9">
                  <c:v>Finance</c:v>
                </c:pt>
                <c:pt idx="10">
                  <c:v>IT</c:v>
                </c:pt>
                <c:pt idx="11">
                  <c:v>Operations</c:v>
                </c:pt>
              </c:strCache>
            </c:strRef>
          </c:cat>
          <c:val>
            <c:numRef>
              <c:f>Raw_Data_100!$I$1:$I$12</c:f>
              <c:numCache>
                <c:formatCode>General</c:formatCode>
                <c:ptCount val="12"/>
                <c:pt idx="7">
                  <c:v>1149000</c:v>
                </c:pt>
                <c:pt idx="8">
                  <c:v>595000</c:v>
                </c:pt>
                <c:pt idx="9">
                  <c:v>577000</c:v>
                </c:pt>
                <c:pt idx="10">
                  <c:v>592000</c:v>
                </c:pt>
                <c:pt idx="11">
                  <c:v>641000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B-4283-A648-63D29372255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Raw_Data_100!$I$7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Raw_Data_100!$H$8:$H$12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IT</c:v>
                </c:pt>
                <c:pt idx="4">
                  <c:v>Operations</c:v>
                </c:pt>
              </c:strCache>
            </c:strRef>
          </c:cat>
          <c:val>
            <c:numRef>
              <c:f>Raw_Data_100!$I$8:$I$12</c:f>
              <c:numCache>
                <c:formatCode>General</c:formatCode>
                <c:ptCount val="5"/>
                <c:pt idx="0">
                  <c:v>1149000</c:v>
                </c:pt>
                <c:pt idx="1">
                  <c:v>595000</c:v>
                </c:pt>
                <c:pt idx="2">
                  <c:v>577000</c:v>
                </c:pt>
                <c:pt idx="3">
                  <c:v>592000</c:v>
                </c:pt>
                <c:pt idx="4">
                  <c:v>641000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8-42BA-B73E-D1D824C3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85709679"/>
        <c:axId val="575502607"/>
      </c:barChart>
      <c:catAx>
        <c:axId val="68570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02607"/>
        <c:crosses val="autoZero"/>
        <c:auto val="1"/>
        <c:lblAlgn val="ctr"/>
        <c:lblOffset val="100"/>
        <c:noMultiLvlLbl val="0"/>
      </c:catAx>
      <c:valAx>
        <c:axId val="5755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0967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12</xdr:row>
      <xdr:rowOff>83820</xdr:rowOff>
    </xdr:from>
    <xdr:to>
      <xdr:col>14</xdr:col>
      <xdr:colOff>510540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9D6B2-C64E-69EC-1D5A-6BAAB12E8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144780</xdr:colOff>
      <xdr:row>0</xdr:row>
      <xdr:rowOff>49530</xdr:rowOff>
    </xdr:from>
    <xdr:to>
      <xdr:col>15</xdr:col>
      <xdr:colOff>129540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238E5-E243-F73F-14DB-A8460883E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d Khan" refreshedDate="46312.875412847221" createdVersion="8" refreshedVersion="8" minRefreshableVersion="3" recordCount="85" xr:uid="{47AB06C3-B6C9-427C-95BB-1474663F07BE}">
  <cacheSource type="worksheet">
    <worksheetSource ref="A1:F86" sheet="Raw_Data_100"/>
  </cacheSource>
  <cacheFields count="6">
    <cacheField name="Employee_ID" numFmtId="0">
      <sharedItems/>
    </cacheField>
    <cacheField name="Employee_Name" numFmtId="0">
      <sharedItems/>
    </cacheField>
    <cacheField name="Department" numFmtId="0">
      <sharedItems count="6">
        <s v="Sales"/>
        <s v="HR"/>
        <s v="Finance"/>
        <s v="IT"/>
        <s v="Operations"/>
        <s v="Marketing"/>
      </sharedItems>
    </cacheField>
    <cacheField name="Monthly_Salary_INR" numFmtId="0">
      <sharedItems containsSemiMixedTypes="0" containsString="0" containsNumber="1" containsInteger="1" minValue="18000" maxValue="75000" count="43">
        <n v="65000"/>
        <n v="20000"/>
        <n v="50000"/>
        <n v="32000"/>
        <n v="62000"/>
        <n v="31000"/>
        <n v="25000"/>
        <n v="69000"/>
        <n v="42000"/>
        <n v="54000"/>
        <n v="41000"/>
        <n v="61000"/>
        <n v="33000"/>
        <n v="58000"/>
        <n v="49000"/>
        <n v="26000"/>
        <n v="75000"/>
        <n v="73000"/>
        <n v="45000"/>
        <n v="36000"/>
        <n v="64000"/>
        <n v="66000"/>
        <n v="23000"/>
        <n v="59000"/>
        <n v="19000"/>
        <n v="60000"/>
        <n v="47000"/>
        <n v="30000"/>
        <n v="29000"/>
        <n v="46000"/>
        <n v="52000"/>
        <n v="44000"/>
        <n v="18000"/>
        <n v="74000"/>
        <n v="28000"/>
        <n v="51000"/>
        <n v="34000"/>
        <n v="39000"/>
        <n v="71000"/>
        <n v="70000"/>
        <n v="67000"/>
        <n v="68000"/>
        <n v="37000"/>
      </sharedItems>
    </cacheField>
    <cacheField name="Experience_Years" numFmtId="0">
      <sharedItems containsSemiMixedTypes="0" containsString="0" containsNumber="1" containsInteger="1" minValue="0" maxValue="18" count="19">
        <n v="8"/>
        <n v="3"/>
        <n v="0"/>
        <n v="14"/>
        <n v="13"/>
        <n v="10"/>
        <n v="11"/>
        <n v="1"/>
        <n v="2"/>
        <n v="6"/>
        <n v="5"/>
        <n v="17"/>
        <n v="12"/>
        <n v="7"/>
        <n v="18"/>
        <n v="16"/>
        <n v="9"/>
        <n v="15"/>
        <n v="4"/>
      </sharedItems>
    </cacheField>
    <cacheField name="City" numFmtId="0">
      <sharedItems count="8">
        <s v="Lucknow"/>
        <s v="Gaya"/>
        <s v="Delhi"/>
        <s v="Ranchi"/>
        <s v="Prayagraj"/>
        <s v="Varanasi"/>
        <s v="Kanpur"/>
        <s v="Pat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E001"/>
    <s v="Neha"/>
    <x v="0"/>
    <x v="0"/>
    <x v="0"/>
    <x v="0"/>
  </r>
  <r>
    <s v="E002"/>
    <s v="Pooja"/>
    <x v="1"/>
    <x v="0"/>
    <x v="1"/>
    <x v="1"/>
  </r>
  <r>
    <s v="E003"/>
    <s v="Sneha"/>
    <x v="2"/>
    <x v="1"/>
    <x v="2"/>
    <x v="1"/>
  </r>
  <r>
    <s v="E004"/>
    <s v="Vikas"/>
    <x v="1"/>
    <x v="2"/>
    <x v="2"/>
    <x v="0"/>
  </r>
  <r>
    <s v="E005"/>
    <s v="Nikhil"/>
    <x v="2"/>
    <x v="3"/>
    <x v="3"/>
    <x v="2"/>
  </r>
  <r>
    <s v="E006"/>
    <s v="Amit"/>
    <x v="1"/>
    <x v="4"/>
    <x v="4"/>
    <x v="3"/>
  </r>
  <r>
    <s v="E007"/>
    <s v="Arjun"/>
    <x v="1"/>
    <x v="5"/>
    <x v="5"/>
    <x v="1"/>
  </r>
  <r>
    <s v="E008"/>
    <s v="Rahul"/>
    <x v="2"/>
    <x v="6"/>
    <x v="6"/>
    <x v="3"/>
  </r>
  <r>
    <s v="E009"/>
    <s v="Varun"/>
    <x v="3"/>
    <x v="7"/>
    <x v="7"/>
    <x v="4"/>
  </r>
  <r>
    <s v="E010"/>
    <s v="Nikhil"/>
    <x v="0"/>
    <x v="8"/>
    <x v="8"/>
    <x v="2"/>
  </r>
  <r>
    <s v="E011"/>
    <s v="Varun"/>
    <x v="3"/>
    <x v="9"/>
    <x v="9"/>
    <x v="1"/>
  </r>
  <r>
    <s v="E013"/>
    <s v="Pooja"/>
    <x v="0"/>
    <x v="8"/>
    <x v="0"/>
    <x v="4"/>
  </r>
  <r>
    <s v="E014"/>
    <s v="Anjali"/>
    <x v="1"/>
    <x v="10"/>
    <x v="6"/>
    <x v="0"/>
  </r>
  <r>
    <s v="E015"/>
    <s v="Arjun"/>
    <x v="4"/>
    <x v="11"/>
    <x v="8"/>
    <x v="5"/>
  </r>
  <r>
    <s v="E016"/>
    <s v="Nikhil"/>
    <x v="4"/>
    <x v="12"/>
    <x v="10"/>
    <x v="4"/>
  </r>
  <r>
    <s v="E017"/>
    <s v="Sana"/>
    <x v="3"/>
    <x v="13"/>
    <x v="11"/>
    <x v="0"/>
  </r>
  <r>
    <s v="E018"/>
    <s v="Rohit"/>
    <x v="0"/>
    <x v="3"/>
    <x v="7"/>
    <x v="3"/>
  </r>
  <r>
    <s v="E020"/>
    <s v="Vikas"/>
    <x v="4"/>
    <x v="14"/>
    <x v="12"/>
    <x v="4"/>
  </r>
  <r>
    <s v="E021"/>
    <s v="Karan"/>
    <x v="3"/>
    <x v="15"/>
    <x v="13"/>
    <x v="2"/>
  </r>
  <r>
    <s v="E022"/>
    <s v="Sneha"/>
    <x v="2"/>
    <x v="16"/>
    <x v="14"/>
    <x v="6"/>
  </r>
  <r>
    <s v="E023"/>
    <s v="Anjali"/>
    <x v="1"/>
    <x v="15"/>
    <x v="15"/>
    <x v="4"/>
  </r>
  <r>
    <s v="E024"/>
    <s v="Rahul"/>
    <x v="0"/>
    <x v="17"/>
    <x v="1"/>
    <x v="5"/>
  </r>
  <r>
    <s v="E025"/>
    <s v="Simran"/>
    <x v="4"/>
    <x v="18"/>
    <x v="8"/>
    <x v="6"/>
  </r>
  <r>
    <s v="E027"/>
    <s v="Nikhil"/>
    <x v="0"/>
    <x v="11"/>
    <x v="1"/>
    <x v="2"/>
  </r>
  <r>
    <s v="E028"/>
    <s v="Rohit"/>
    <x v="0"/>
    <x v="19"/>
    <x v="4"/>
    <x v="5"/>
  </r>
  <r>
    <s v="E029"/>
    <s v="Riya"/>
    <x v="0"/>
    <x v="20"/>
    <x v="0"/>
    <x v="5"/>
  </r>
  <r>
    <s v="E030"/>
    <s v="Kavita"/>
    <x v="0"/>
    <x v="17"/>
    <x v="16"/>
    <x v="0"/>
  </r>
  <r>
    <s v="E031"/>
    <s v="Karan"/>
    <x v="3"/>
    <x v="21"/>
    <x v="10"/>
    <x v="7"/>
  </r>
  <r>
    <s v="E032"/>
    <s v="Varun"/>
    <x v="3"/>
    <x v="14"/>
    <x v="2"/>
    <x v="1"/>
  </r>
  <r>
    <s v="E034"/>
    <s v="Sneha"/>
    <x v="0"/>
    <x v="22"/>
    <x v="17"/>
    <x v="1"/>
  </r>
  <r>
    <s v="E035"/>
    <s v="Nikhil"/>
    <x v="1"/>
    <x v="15"/>
    <x v="17"/>
    <x v="5"/>
  </r>
  <r>
    <s v="E036"/>
    <s v="Arjun"/>
    <x v="5"/>
    <x v="17"/>
    <x v="4"/>
    <x v="0"/>
  </r>
  <r>
    <s v="E037"/>
    <s v="Nikhil"/>
    <x v="4"/>
    <x v="4"/>
    <x v="9"/>
    <x v="2"/>
  </r>
  <r>
    <s v="E038"/>
    <s v="Sana"/>
    <x v="4"/>
    <x v="23"/>
    <x v="6"/>
    <x v="4"/>
  </r>
  <r>
    <s v="E039"/>
    <s v="Kavita"/>
    <x v="2"/>
    <x v="6"/>
    <x v="13"/>
    <x v="0"/>
  </r>
  <r>
    <s v="E040"/>
    <s v="Rahul"/>
    <x v="3"/>
    <x v="24"/>
    <x v="14"/>
    <x v="0"/>
  </r>
  <r>
    <s v="E042"/>
    <s v="Pooja"/>
    <x v="0"/>
    <x v="16"/>
    <x v="7"/>
    <x v="3"/>
  </r>
  <r>
    <s v="E043"/>
    <s v="Rahul"/>
    <x v="5"/>
    <x v="12"/>
    <x v="0"/>
    <x v="4"/>
  </r>
  <r>
    <s v="E044"/>
    <s v="Vikas"/>
    <x v="5"/>
    <x v="15"/>
    <x v="14"/>
    <x v="4"/>
  </r>
  <r>
    <s v="E045"/>
    <s v="Pooja"/>
    <x v="2"/>
    <x v="7"/>
    <x v="4"/>
    <x v="0"/>
  </r>
  <r>
    <s v="E046"/>
    <s v="Neha"/>
    <x v="0"/>
    <x v="25"/>
    <x v="4"/>
    <x v="3"/>
  </r>
  <r>
    <s v="E047"/>
    <s v="Deepak"/>
    <x v="2"/>
    <x v="26"/>
    <x v="7"/>
    <x v="1"/>
  </r>
  <r>
    <s v="E049"/>
    <s v="Pooja"/>
    <x v="1"/>
    <x v="27"/>
    <x v="11"/>
    <x v="4"/>
  </r>
  <r>
    <s v="E050"/>
    <s v="Karan"/>
    <x v="2"/>
    <x v="28"/>
    <x v="0"/>
    <x v="4"/>
  </r>
  <r>
    <s v="E051"/>
    <s v="Pooja"/>
    <x v="0"/>
    <x v="29"/>
    <x v="11"/>
    <x v="1"/>
  </r>
  <r>
    <s v="E052"/>
    <s v="Priya"/>
    <x v="4"/>
    <x v="30"/>
    <x v="2"/>
    <x v="1"/>
  </r>
  <r>
    <s v="E053"/>
    <s v="Pooja"/>
    <x v="1"/>
    <x v="31"/>
    <x v="17"/>
    <x v="4"/>
  </r>
  <r>
    <s v="E054"/>
    <s v="Vikas"/>
    <x v="2"/>
    <x v="16"/>
    <x v="7"/>
    <x v="5"/>
  </r>
  <r>
    <s v="E056"/>
    <s v="Meena"/>
    <x v="2"/>
    <x v="4"/>
    <x v="11"/>
    <x v="4"/>
  </r>
  <r>
    <s v="E057"/>
    <s v="Karan"/>
    <x v="1"/>
    <x v="19"/>
    <x v="9"/>
    <x v="7"/>
  </r>
  <r>
    <s v="E058"/>
    <s v="Sneha"/>
    <x v="4"/>
    <x v="30"/>
    <x v="7"/>
    <x v="3"/>
  </r>
  <r>
    <s v="E060"/>
    <s v="Priya"/>
    <x v="5"/>
    <x v="22"/>
    <x v="10"/>
    <x v="1"/>
  </r>
  <r>
    <s v="E061"/>
    <s v="Varun"/>
    <x v="0"/>
    <x v="11"/>
    <x v="13"/>
    <x v="6"/>
  </r>
  <r>
    <s v="E062"/>
    <s v="Neha"/>
    <x v="5"/>
    <x v="12"/>
    <x v="14"/>
    <x v="7"/>
  </r>
  <r>
    <s v="E063"/>
    <s v="Varun"/>
    <x v="0"/>
    <x v="31"/>
    <x v="14"/>
    <x v="3"/>
  </r>
  <r>
    <s v="E065"/>
    <s v="Arjun"/>
    <x v="2"/>
    <x v="15"/>
    <x v="16"/>
    <x v="4"/>
  </r>
  <r>
    <s v="E066"/>
    <s v="Rohit"/>
    <x v="0"/>
    <x v="32"/>
    <x v="3"/>
    <x v="1"/>
  </r>
  <r>
    <s v="E067"/>
    <s v="Rahul"/>
    <x v="5"/>
    <x v="5"/>
    <x v="15"/>
    <x v="2"/>
  </r>
  <r>
    <s v="E068"/>
    <s v="Karan"/>
    <x v="3"/>
    <x v="33"/>
    <x v="8"/>
    <x v="0"/>
  </r>
  <r>
    <s v="E069"/>
    <s v="Anjali"/>
    <x v="3"/>
    <x v="34"/>
    <x v="3"/>
    <x v="2"/>
  </r>
  <r>
    <s v="E070"/>
    <s v="Varun"/>
    <x v="4"/>
    <x v="35"/>
    <x v="2"/>
    <x v="2"/>
  </r>
  <r>
    <s v="E071"/>
    <s v="Neha"/>
    <x v="1"/>
    <x v="36"/>
    <x v="1"/>
    <x v="1"/>
  </r>
  <r>
    <s v="E073"/>
    <s v="Rohit"/>
    <x v="1"/>
    <x v="11"/>
    <x v="0"/>
    <x v="4"/>
  </r>
  <r>
    <s v="E074"/>
    <s v="Arjun"/>
    <x v="0"/>
    <x v="22"/>
    <x v="4"/>
    <x v="2"/>
  </r>
  <r>
    <s v="E075"/>
    <s v="Priya"/>
    <x v="0"/>
    <x v="37"/>
    <x v="18"/>
    <x v="2"/>
  </r>
  <r>
    <s v="E076"/>
    <s v="Simran"/>
    <x v="4"/>
    <x v="29"/>
    <x v="11"/>
    <x v="6"/>
  </r>
  <r>
    <s v="E078"/>
    <s v="Nikhil"/>
    <x v="0"/>
    <x v="38"/>
    <x v="6"/>
    <x v="5"/>
  </r>
  <r>
    <s v="E079"/>
    <s v="Deepak"/>
    <x v="1"/>
    <x v="1"/>
    <x v="16"/>
    <x v="3"/>
  </r>
  <r>
    <s v="E080"/>
    <s v="Priya"/>
    <x v="3"/>
    <x v="5"/>
    <x v="13"/>
    <x v="1"/>
  </r>
  <r>
    <s v="E081"/>
    <s v="Anjali"/>
    <x v="5"/>
    <x v="33"/>
    <x v="4"/>
    <x v="5"/>
  </r>
  <r>
    <s v="E082"/>
    <s v="Pooja"/>
    <x v="1"/>
    <x v="7"/>
    <x v="10"/>
    <x v="6"/>
  </r>
  <r>
    <s v="E084"/>
    <s v="Pooja"/>
    <x v="3"/>
    <x v="34"/>
    <x v="1"/>
    <x v="6"/>
  </r>
  <r>
    <s v="E085"/>
    <s v="Priya"/>
    <x v="2"/>
    <x v="3"/>
    <x v="9"/>
    <x v="4"/>
  </r>
  <r>
    <s v="E086"/>
    <s v="Anjali"/>
    <x v="3"/>
    <x v="39"/>
    <x v="13"/>
    <x v="0"/>
  </r>
  <r>
    <s v="E087"/>
    <s v="Amit"/>
    <x v="4"/>
    <x v="27"/>
    <x v="12"/>
    <x v="3"/>
  </r>
  <r>
    <s v="E088"/>
    <s v="Arjun"/>
    <x v="0"/>
    <x v="40"/>
    <x v="0"/>
    <x v="3"/>
  </r>
  <r>
    <s v="E090"/>
    <s v="Amit"/>
    <x v="0"/>
    <x v="33"/>
    <x v="0"/>
    <x v="5"/>
  </r>
  <r>
    <s v="E091"/>
    <s v="Sneha"/>
    <x v="3"/>
    <x v="1"/>
    <x v="1"/>
    <x v="6"/>
  </r>
  <r>
    <s v="E092"/>
    <s v="Anjali"/>
    <x v="4"/>
    <x v="41"/>
    <x v="5"/>
    <x v="6"/>
  </r>
  <r>
    <s v="E093"/>
    <s v="Varun"/>
    <x v="5"/>
    <x v="6"/>
    <x v="12"/>
    <x v="0"/>
  </r>
  <r>
    <s v="E095"/>
    <s v="Kavita"/>
    <x v="5"/>
    <x v="11"/>
    <x v="9"/>
    <x v="3"/>
  </r>
  <r>
    <s v="E096"/>
    <s v="Deepak"/>
    <x v="0"/>
    <x v="25"/>
    <x v="5"/>
    <x v="3"/>
  </r>
  <r>
    <s v="E097"/>
    <s v="Neha"/>
    <x v="4"/>
    <x v="16"/>
    <x v="16"/>
    <x v="2"/>
  </r>
  <r>
    <s v="E099"/>
    <s v="Vikas"/>
    <x v="2"/>
    <x v="25"/>
    <x v="12"/>
    <x v="5"/>
  </r>
  <r>
    <s v="E100"/>
    <s v="Varun"/>
    <x v="5"/>
    <x v="42"/>
    <x v="1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8CE7E-0C50-4475-8281-D8A399FB73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0" firstDataRow="1" firstDataCol="1" rowPageCount="1" colPageCount="1"/>
  <pivotFields count="6">
    <pivotField showAll="0"/>
    <pivotField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dataField="1" showAll="0">
      <items count="44">
        <item x="32"/>
        <item x="24"/>
        <item x="1"/>
        <item x="22"/>
        <item x="6"/>
        <item x="15"/>
        <item x="34"/>
        <item x="28"/>
        <item x="27"/>
        <item x="5"/>
        <item x="3"/>
        <item x="12"/>
        <item x="36"/>
        <item x="19"/>
        <item x="42"/>
        <item x="37"/>
        <item x="10"/>
        <item x="8"/>
        <item x="31"/>
        <item x="18"/>
        <item x="29"/>
        <item x="26"/>
        <item x="14"/>
        <item x="2"/>
        <item x="35"/>
        <item x="30"/>
        <item x="9"/>
        <item x="13"/>
        <item x="23"/>
        <item x="25"/>
        <item x="11"/>
        <item x="4"/>
        <item x="20"/>
        <item x="0"/>
        <item x="21"/>
        <item x="40"/>
        <item x="41"/>
        <item x="7"/>
        <item x="39"/>
        <item x="38"/>
        <item x="17"/>
        <item x="33"/>
        <item x="16"/>
        <item t="default"/>
      </items>
    </pivotField>
    <pivotField showAll="0">
      <items count="20">
        <item x="2"/>
        <item x="7"/>
        <item x="8"/>
        <item x="1"/>
        <item x="18"/>
        <item x="10"/>
        <item x="9"/>
        <item x="13"/>
        <item x="0"/>
        <item x="16"/>
        <item x="5"/>
        <item x="6"/>
        <item x="12"/>
        <item x="4"/>
        <item x="3"/>
        <item x="17"/>
        <item x="15"/>
        <item x="11"/>
        <item x="14"/>
        <item t="default"/>
      </items>
    </pivotField>
    <pivotField axis="axisPage" showAll="0">
      <items count="9">
        <item x="2"/>
        <item x="1"/>
        <item x="6"/>
        <item x="0"/>
        <item x="7"/>
        <item x="4"/>
        <item x="3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-1"/>
  </pageFields>
  <dataFields count="4">
    <dataField name="Min of Monthly_Salary_INR" fld="3" subtotal="min" baseField="2" baseItem="0"/>
    <dataField name="Sum of Monthly_Salary_INR2" fld="3" baseField="0" baseItem="0"/>
    <dataField name="Average of Monthly_Salary_INR3" fld="3" subtotal="average" baseField="2" baseItem="0"/>
    <dataField name="Max of Monthly_Salary_INR2" fld="3" subtotal="max" baseField="2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workbookViewId="0">
      <pane ySplit="1" topLeftCell="A2" activePane="bottomLeft" state="frozen"/>
      <selection pane="bottomLeft" activeCell="H7" sqref="H7:I12"/>
    </sheetView>
  </sheetViews>
  <sheetFormatPr defaultRowHeight="14.4" x14ac:dyDescent="0.3"/>
  <cols>
    <col min="1" max="1" width="16.5546875" bestFit="1" customWidth="1"/>
    <col min="2" max="2" width="19.88671875" bestFit="1" customWidth="1"/>
    <col min="3" max="3" width="15.5546875" bestFit="1" customWidth="1"/>
    <col min="4" max="4" width="23" bestFit="1" customWidth="1"/>
    <col min="5" max="5" width="18" customWidth="1"/>
    <col min="6" max="6" width="8.6640625" bestFit="1" customWidth="1"/>
    <col min="7" max="10" width="12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8" t="s">
        <v>124</v>
      </c>
      <c r="I1" s="9"/>
    </row>
    <row r="2" spans="1:9" x14ac:dyDescent="0.3">
      <c r="A2" s="2" t="s">
        <v>6</v>
      </c>
      <c r="B2" s="2" t="s">
        <v>7</v>
      </c>
      <c r="C2" s="2" t="s">
        <v>8</v>
      </c>
      <c r="D2" s="2">
        <v>65000</v>
      </c>
      <c r="E2" s="2">
        <v>8</v>
      </c>
      <c r="F2" s="2" t="s">
        <v>9</v>
      </c>
      <c r="H2" s="10">
        <f>COUNT(E2:E86)</f>
        <v>85</v>
      </c>
      <c r="I2" s="10"/>
    </row>
    <row r="3" spans="1:9" x14ac:dyDescent="0.3">
      <c r="A3" s="2" t="s">
        <v>10</v>
      </c>
      <c r="B3" s="2" t="s">
        <v>11</v>
      </c>
      <c r="C3" s="2" t="s">
        <v>12</v>
      </c>
      <c r="D3" s="2">
        <v>65000</v>
      </c>
      <c r="E3" s="2">
        <v>3</v>
      </c>
      <c r="F3" s="2" t="s">
        <v>13</v>
      </c>
    </row>
    <row r="4" spans="1:9" x14ac:dyDescent="0.3">
      <c r="A4" s="2" t="s">
        <v>14</v>
      </c>
      <c r="B4" s="2" t="s">
        <v>15</v>
      </c>
      <c r="C4" s="2" t="s">
        <v>16</v>
      </c>
      <c r="D4" s="2">
        <v>20000</v>
      </c>
      <c r="E4" s="2">
        <v>0</v>
      </c>
      <c r="F4" s="2" t="s">
        <v>13</v>
      </c>
      <c r="H4" s="8" t="s">
        <v>125</v>
      </c>
      <c r="I4" s="9"/>
    </row>
    <row r="5" spans="1:9" x14ac:dyDescent="0.3">
      <c r="A5" s="2" t="s">
        <v>17</v>
      </c>
      <c r="B5" s="2" t="s">
        <v>18</v>
      </c>
      <c r="C5" s="2" t="s">
        <v>12</v>
      </c>
      <c r="D5" s="2">
        <v>50000</v>
      </c>
      <c r="E5" s="2">
        <v>0</v>
      </c>
      <c r="F5" s="2" t="s">
        <v>9</v>
      </c>
      <c r="H5" s="11">
        <f>SUM(D2:D86)</f>
        <v>4012000</v>
      </c>
      <c r="I5" s="11"/>
    </row>
    <row r="6" spans="1:9" x14ac:dyDescent="0.3">
      <c r="A6" s="2" t="s">
        <v>19</v>
      </c>
      <c r="B6" s="2" t="s">
        <v>20</v>
      </c>
      <c r="C6" s="2" t="s">
        <v>16</v>
      </c>
      <c r="D6" s="2">
        <v>32000</v>
      </c>
      <c r="E6" s="2">
        <v>14</v>
      </c>
      <c r="F6" s="2" t="s">
        <v>21</v>
      </c>
    </row>
    <row r="7" spans="1:9" x14ac:dyDescent="0.3">
      <c r="A7" s="2" t="s">
        <v>22</v>
      </c>
      <c r="B7" s="2" t="s">
        <v>23</v>
      </c>
      <c r="C7" s="2" t="s">
        <v>12</v>
      </c>
      <c r="D7" s="2">
        <v>62000</v>
      </c>
      <c r="E7" s="2">
        <v>13</v>
      </c>
      <c r="F7" s="2" t="s">
        <v>24</v>
      </c>
      <c r="H7" s="8" t="s">
        <v>126</v>
      </c>
      <c r="I7" s="9"/>
    </row>
    <row r="8" spans="1:9" x14ac:dyDescent="0.3">
      <c r="A8" s="2" t="s">
        <v>25</v>
      </c>
      <c r="B8" s="2" t="s">
        <v>26</v>
      </c>
      <c r="C8" s="2" t="s">
        <v>12</v>
      </c>
      <c r="D8" s="2">
        <v>31000</v>
      </c>
      <c r="E8" s="2">
        <v>10</v>
      </c>
      <c r="F8" s="2" t="s">
        <v>13</v>
      </c>
      <c r="H8" s="3" t="s">
        <v>8</v>
      </c>
      <c r="I8" s="3">
        <f>SUMIF(C2:C86,"sales",D2:D86)</f>
        <v>1149000</v>
      </c>
    </row>
    <row r="9" spans="1:9" x14ac:dyDescent="0.3">
      <c r="A9" s="2" t="s">
        <v>27</v>
      </c>
      <c r="B9" s="2" t="s">
        <v>28</v>
      </c>
      <c r="C9" s="2" t="s">
        <v>16</v>
      </c>
      <c r="D9" s="2">
        <v>25000</v>
      </c>
      <c r="E9" s="2">
        <v>11</v>
      </c>
      <c r="F9" s="2" t="s">
        <v>24</v>
      </c>
      <c r="H9" s="3" t="s">
        <v>12</v>
      </c>
      <c r="I9" s="3">
        <f>SUMIF(C2:C86,"hr",D2:D86)</f>
        <v>595000</v>
      </c>
    </row>
    <row r="10" spans="1:9" x14ac:dyDescent="0.3">
      <c r="A10" s="2" t="s">
        <v>29</v>
      </c>
      <c r="B10" s="2" t="s">
        <v>30</v>
      </c>
      <c r="C10" s="2" t="s">
        <v>31</v>
      </c>
      <c r="D10" s="2">
        <v>69000</v>
      </c>
      <c r="E10" s="2">
        <v>1</v>
      </c>
      <c r="F10" s="2" t="s">
        <v>32</v>
      </c>
      <c r="H10" s="3" t="s">
        <v>16</v>
      </c>
      <c r="I10" s="3">
        <f>SUMIF(C2:C86,"finance",D2:D86)</f>
        <v>577000</v>
      </c>
    </row>
    <row r="11" spans="1:9" x14ac:dyDescent="0.3">
      <c r="A11" s="2" t="s">
        <v>33</v>
      </c>
      <c r="B11" s="2" t="s">
        <v>20</v>
      </c>
      <c r="C11" s="2" t="s">
        <v>8</v>
      </c>
      <c r="D11" s="2">
        <v>42000</v>
      </c>
      <c r="E11" s="2">
        <v>2</v>
      </c>
      <c r="F11" s="2" t="s">
        <v>21</v>
      </c>
      <c r="H11" s="3" t="s">
        <v>31</v>
      </c>
      <c r="I11" s="3">
        <f>SUMIF(C2:C86,"it",D2:D86)</f>
        <v>592000</v>
      </c>
    </row>
    <row r="12" spans="1:9" x14ac:dyDescent="0.3">
      <c r="A12" s="2" t="s">
        <v>34</v>
      </c>
      <c r="B12" s="2" t="s">
        <v>30</v>
      </c>
      <c r="C12" s="2" t="s">
        <v>31</v>
      </c>
      <c r="D12" s="2">
        <v>54000</v>
      </c>
      <c r="E12" s="2">
        <v>6</v>
      </c>
      <c r="F12" s="2" t="s">
        <v>13</v>
      </c>
      <c r="H12" s="3" t="s">
        <v>36</v>
      </c>
      <c r="I12" s="3">
        <f ca="1">SUMIF(C2:C86,"operations",D1:D2)</f>
        <v>641000</v>
      </c>
    </row>
    <row r="13" spans="1:9" x14ac:dyDescent="0.3">
      <c r="A13" s="2" t="s">
        <v>37</v>
      </c>
      <c r="B13" s="2" t="s">
        <v>11</v>
      </c>
      <c r="C13" s="2" t="s">
        <v>8</v>
      </c>
      <c r="D13" s="2">
        <v>42000</v>
      </c>
      <c r="E13" s="2">
        <v>8</v>
      </c>
      <c r="F13" s="2" t="s">
        <v>32</v>
      </c>
    </row>
    <row r="14" spans="1:9" x14ac:dyDescent="0.3">
      <c r="A14" s="2" t="s">
        <v>38</v>
      </c>
      <c r="B14" s="2" t="s">
        <v>39</v>
      </c>
      <c r="C14" s="2" t="s">
        <v>12</v>
      </c>
      <c r="D14" s="2">
        <v>41000</v>
      </c>
      <c r="E14" s="2">
        <v>11</v>
      </c>
      <c r="F14" s="2" t="s">
        <v>9</v>
      </c>
    </row>
    <row r="15" spans="1:9" x14ac:dyDescent="0.3">
      <c r="A15" s="2" t="s">
        <v>40</v>
      </c>
      <c r="B15" s="2" t="s">
        <v>26</v>
      </c>
      <c r="C15" s="2" t="s">
        <v>36</v>
      </c>
      <c r="D15" s="2">
        <v>61000</v>
      </c>
      <c r="E15" s="2">
        <v>2</v>
      </c>
      <c r="F15" s="2" t="s">
        <v>41</v>
      </c>
    </row>
    <row r="16" spans="1:9" x14ac:dyDescent="0.3">
      <c r="A16" s="2" t="s">
        <v>42</v>
      </c>
      <c r="B16" s="2" t="s">
        <v>20</v>
      </c>
      <c r="C16" s="2" t="s">
        <v>36</v>
      </c>
      <c r="D16" s="2">
        <v>33000</v>
      </c>
      <c r="E16" s="2">
        <v>5</v>
      </c>
      <c r="F16" s="2" t="s">
        <v>32</v>
      </c>
    </row>
    <row r="17" spans="1:6" x14ac:dyDescent="0.3">
      <c r="A17" s="2" t="s">
        <v>43</v>
      </c>
      <c r="B17" s="2" t="s">
        <v>44</v>
      </c>
      <c r="C17" s="2" t="s">
        <v>31</v>
      </c>
      <c r="D17" s="2">
        <v>58000</v>
      </c>
      <c r="E17" s="2">
        <v>17</v>
      </c>
      <c r="F17" s="2" t="s">
        <v>9</v>
      </c>
    </row>
    <row r="18" spans="1:6" x14ac:dyDescent="0.3">
      <c r="A18" s="2" t="s">
        <v>45</v>
      </c>
      <c r="B18" s="2" t="s">
        <v>46</v>
      </c>
      <c r="C18" s="2" t="s">
        <v>8</v>
      </c>
      <c r="D18" s="2">
        <v>32000</v>
      </c>
      <c r="E18" s="2">
        <v>1</v>
      </c>
      <c r="F18" s="2" t="s">
        <v>24</v>
      </c>
    </row>
    <row r="19" spans="1:6" x14ac:dyDescent="0.3">
      <c r="A19" s="2" t="s">
        <v>47</v>
      </c>
      <c r="B19" s="2" t="s">
        <v>18</v>
      </c>
      <c r="C19" s="2" t="s">
        <v>36</v>
      </c>
      <c r="D19" s="2">
        <v>49000</v>
      </c>
      <c r="E19" s="2">
        <v>12</v>
      </c>
      <c r="F19" s="2" t="s">
        <v>32</v>
      </c>
    </row>
    <row r="20" spans="1:6" x14ac:dyDescent="0.3">
      <c r="A20" s="2" t="s">
        <v>48</v>
      </c>
      <c r="B20" s="2" t="s">
        <v>49</v>
      </c>
      <c r="C20" s="2" t="s">
        <v>31</v>
      </c>
      <c r="D20" s="2">
        <v>26000</v>
      </c>
      <c r="E20" s="2">
        <v>7</v>
      </c>
      <c r="F20" s="2" t="s">
        <v>21</v>
      </c>
    </row>
    <row r="21" spans="1:6" x14ac:dyDescent="0.3">
      <c r="A21" s="2" t="s">
        <v>50</v>
      </c>
      <c r="B21" s="2" t="s">
        <v>15</v>
      </c>
      <c r="C21" s="2" t="s">
        <v>16</v>
      </c>
      <c r="D21" s="2">
        <v>75000</v>
      </c>
      <c r="E21" s="2">
        <v>18</v>
      </c>
      <c r="F21" s="2" t="s">
        <v>51</v>
      </c>
    </row>
    <row r="22" spans="1:6" x14ac:dyDescent="0.3">
      <c r="A22" s="2" t="s">
        <v>52</v>
      </c>
      <c r="B22" s="2" t="s">
        <v>39</v>
      </c>
      <c r="C22" s="2" t="s">
        <v>12</v>
      </c>
      <c r="D22" s="2">
        <v>26000</v>
      </c>
      <c r="E22" s="2">
        <v>16</v>
      </c>
      <c r="F22" s="2" t="s">
        <v>32</v>
      </c>
    </row>
    <row r="23" spans="1:6" x14ac:dyDescent="0.3">
      <c r="A23" s="2" t="s">
        <v>53</v>
      </c>
      <c r="B23" s="2" t="s">
        <v>28</v>
      </c>
      <c r="C23" s="2" t="s">
        <v>8</v>
      </c>
      <c r="D23" s="2">
        <v>73000</v>
      </c>
      <c r="E23" s="2">
        <v>3</v>
      </c>
      <c r="F23" s="2" t="s">
        <v>41</v>
      </c>
    </row>
    <row r="24" spans="1:6" x14ac:dyDescent="0.3">
      <c r="A24" s="2" t="s">
        <v>54</v>
      </c>
      <c r="B24" s="2" t="s">
        <v>55</v>
      </c>
      <c r="C24" s="2" t="s">
        <v>36</v>
      </c>
      <c r="D24" s="2">
        <v>45000</v>
      </c>
      <c r="E24" s="2">
        <v>2</v>
      </c>
      <c r="F24" s="2" t="s">
        <v>51</v>
      </c>
    </row>
    <row r="25" spans="1:6" x14ac:dyDescent="0.3">
      <c r="A25" s="2" t="s">
        <v>57</v>
      </c>
      <c r="B25" s="2" t="s">
        <v>20</v>
      </c>
      <c r="C25" s="2" t="s">
        <v>8</v>
      </c>
      <c r="D25" s="2">
        <v>61000</v>
      </c>
      <c r="E25" s="2">
        <v>3</v>
      </c>
      <c r="F25" s="2" t="s">
        <v>21</v>
      </c>
    </row>
    <row r="26" spans="1:6" x14ac:dyDescent="0.3">
      <c r="A26" s="2" t="s">
        <v>58</v>
      </c>
      <c r="B26" s="2" t="s">
        <v>46</v>
      </c>
      <c r="C26" s="2" t="s">
        <v>8</v>
      </c>
      <c r="D26" s="2">
        <v>36000</v>
      </c>
      <c r="E26" s="2">
        <v>13</v>
      </c>
      <c r="F26" s="2" t="s">
        <v>41</v>
      </c>
    </row>
    <row r="27" spans="1:6" x14ac:dyDescent="0.3">
      <c r="A27" s="2" t="s">
        <v>59</v>
      </c>
      <c r="B27" s="2" t="s">
        <v>60</v>
      </c>
      <c r="C27" s="2" t="s">
        <v>8</v>
      </c>
      <c r="D27" s="2">
        <v>64000</v>
      </c>
      <c r="E27" s="2">
        <v>8</v>
      </c>
      <c r="F27" s="2" t="s">
        <v>41</v>
      </c>
    </row>
    <row r="28" spans="1:6" x14ac:dyDescent="0.3">
      <c r="A28" s="2" t="s">
        <v>61</v>
      </c>
      <c r="B28" s="2" t="s">
        <v>62</v>
      </c>
      <c r="C28" s="2" t="s">
        <v>8</v>
      </c>
      <c r="D28" s="2">
        <v>73000</v>
      </c>
      <c r="E28" s="2">
        <v>9</v>
      </c>
      <c r="F28" s="2" t="s">
        <v>9</v>
      </c>
    </row>
    <row r="29" spans="1:6" x14ac:dyDescent="0.3">
      <c r="A29" s="2" t="s">
        <v>63</v>
      </c>
      <c r="B29" s="2" t="s">
        <v>49</v>
      </c>
      <c r="C29" s="2" t="s">
        <v>31</v>
      </c>
      <c r="D29" s="2">
        <v>66000</v>
      </c>
      <c r="E29" s="2">
        <v>5</v>
      </c>
      <c r="F29" s="2" t="s">
        <v>64</v>
      </c>
    </row>
    <row r="30" spans="1:6" x14ac:dyDescent="0.3">
      <c r="A30" s="2" t="s">
        <v>65</v>
      </c>
      <c r="B30" s="2" t="s">
        <v>30</v>
      </c>
      <c r="C30" s="2" t="s">
        <v>31</v>
      </c>
      <c r="D30" s="2">
        <v>49000</v>
      </c>
      <c r="E30" s="2">
        <v>0</v>
      </c>
      <c r="F30" s="2" t="s">
        <v>13</v>
      </c>
    </row>
    <row r="31" spans="1:6" x14ac:dyDescent="0.3">
      <c r="A31" s="2" t="s">
        <v>66</v>
      </c>
      <c r="B31" s="2" t="s">
        <v>15</v>
      </c>
      <c r="C31" s="2" t="s">
        <v>8</v>
      </c>
      <c r="D31" s="2">
        <v>23000</v>
      </c>
      <c r="E31" s="2">
        <v>15</v>
      </c>
      <c r="F31" s="2" t="s">
        <v>13</v>
      </c>
    </row>
    <row r="32" spans="1:6" x14ac:dyDescent="0.3">
      <c r="A32" s="2" t="s">
        <v>67</v>
      </c>
      <c r="B32" s="2" t="s">
        <v>20</v>
      </c>
      <c r="C32" s="2" t="s">
        <v>12</v>
      </c>
      <c r="D32" s="2">
        <v>26000</v>
      </c>
      <c r="E32" s="2">
        <v>15</v>
      </c>
      <c r="F32" s="2" t="s">
        <v>41</v>
      </c>
    </row>
    <row r="33" spans="1:6" x14ac:dyDescent="0.3">
      <c r="A33" s="2" t="s">
        <v>68</v>
      </c>
      <c r="B33" s="2" t="s">
        <v>26</v>
      </c>
      <c r="C33" s="2" t="s">
        <v>56</v>
      </c>
      <c r="D33" s="2">
        <v>73000</v>
      </c>
      <c r="E33" s="2">
        <v>13</v>
      </c>
      <c r="F33" s="2" t="s">
        <v>9</v>
      </c>
    </row>
    <row r="34" spans="1:6" x14ac:dyDescent="0.3">
      <c r="A34" s="2" t="s">
        <v>69</v>
      </c>
      <c r="B34" s="2" t="s">
        <v>20</v>
      </c>
      <c r="C34" s="2" t="s">
        <v>36</v>
      </c>
      <c r="D34" s="2">
        <v>62000</v>
      </c>
      <c r="E34" s="2">
        <v>6</v>
      </c>
      <c r="F34" s="2" t="s">
        <v>21</v>
      </c>
    </row>
    <row r="35" spans="1:6" x14ac:dyDescent="0.3">
      <c r="A35" s="2" t="s">
        <v>70</v>
      </c>
      <c r="B35" s="2" t="s">
        <v>44</v>
      </c>
      <c r="C35" s="2" t="s">
        <v>36</v>
      </c>
      <c r="D35" s="2">
        <v>59000</v>
      </c>
      <c r="E35" s="2">
        <v>11</v>
      </c>
      <c r="F35" s="2" t="s">
        <v>32</v>
      </c>
    </row>
    <row r="36" spans="1:6" x14ac:dyDescent="0.3">
      <c r="A36" s="2" t="s">
        <v>71</v>
      </c>
      <c r="B36" s="2" t="s">
        <v>62</v>
      </c>
      <c r="C36" s="2" t="s">
        <v>16</v>
      </c>
      <c r="D36" s="2">
        <v>25000</v>
      </c>
      <c r="E36" s="2">
        <v>7</v>
      </c>
      <c r="F36" s="2" t="s">
        <v>9</v>
      </c>
    </row>
    <row r="37" spans="1:6" x14ac:dyDescent="0.3">
      <c r="A37" s="2" t="s">
        <v>72</v>
      </c>
      <c r="B37" s="2" t="s">
        <v>28</v>
      </c>
      <c r="C37" s="2" t="s">
        <v>31</v>
      </c>
      <c r="D37" s="2">
        <v>19000</v>
      </c>
      <c r="E37" s="2">
        <v>18</v>
      </c>
      <c r="F37" s="2" t="s">
        <v>9</v>
      </c>
    </row>
    <row r="38" spans="1:6" x14ac:dyDescent="0.3">
      <c r="A38" s="2" t="s">
        <v>73</v>
      </c>
      <c r="B38" s="2" t="s">
        <v>11</v>
      </c>
      <c r="C38" s="2" t="s">
        <v>8</v>
      </c>
      <c r="D38" s="2">
        <v>75000</v>
      </c>
      <c r="E38" s="2">
        <v>1</v>
      </c>
      <c r="F38" s="2" t="s">
        <v>24</v>
      </c>
    </row>
    <row r="39" spans="1:6" x14ac:dyDescent="0.3">
      <c r="A39" s="2" t="s">
        <v>74</v>
      </c>
      <c r="B39" s="2" t="s">
        <v>28</v>
      </c>
      <c r="C39" s="2" t="s">
        <v>56</v>
      </c>
      <c r="D39" s="2">
        <v>33000</v>
      </c>
      <c r="E39" s="2">
        <v>8</v>
      </c>
      <c r="F39" s="2" t="s">
        <v>32</v>
      </c>
    </row>
    <row r="40" spans="1:6" x14ac:dyDescent="0.3">
      <c r="A40" s="2" t="s">
        <v>75</v>
      </c>
      <c r="B40" s="2" t="s">
        <v>18</v>
      </c>
      <c r="C40" s="2" t="s">
        <v>56</v>
      </c>
      <c r="D40" s="2">
        <v>26000</v>
      </c>
      <c r="E40" s="2">
        <v>18</v>
      </c>
      <c r="F40" s="2" t="s">
        <v>32</v>
      </c>
    </row>
    <row r="41" spans="1:6" x14ac:dyDescent="0.3">
      <c r="A41" s="2" t="s">
        <v>76</v>
      </c>
      <c r="B41" s="2" t="s">
        <v>11</v>
      </c>
      <c r="C41" s="2" t="s">
        <v>16</v>
      </c>
      <c r="D41" s="2">
        <v>69000</v>
      </c>
      <c r="E41" s="2">
        <v>13</v>
      </c>
      <c r="F41" s="2" t="s">
        <v>9</v>
      </c>
    </row>
    <row r="42" spans="1:6" x14ac:dyDescent="0.3">
      <c r="A42" s="2" t="s">
        <v>77</v>
      </c>
      <c r="B42" s="2" t="s">
        <v>7</v>
      </c>
      <c r="C42" s="2" t="s">
        <v>8</v>
      </c>
      <c r="D42" s="2">
        <v>60000</v>
      </c>
      <c r="E42" s="2">
        <v>13</v>
      </c>
      <c r="F42" s="2" t="s">
        <v>24</v>
      </c>
    </row>
    <row r="43" spans="1:6" x14ac:dyDescent="0.3">
      <c r="A43" s="2" t="s">
        <v>78</v>
      </c>
      <c r="B43" s="2" t="s">
        <v>79</v>
      </c>
      <c r="C43" s="2" t="s">
        <v>16</v>
      </c>
      <c r="D43" s="2">
        <v>47000</v>
      </c>
      <c r="E43" s="2">
        <v>1</v>
      </c>
      <c r="F43" s="2" t="s">
        <v>13</v>
      </c>
    </row>
    <row r="44" spans="1:6" x14ac:dyDescent="0.3">
      <c r="A44" s="2" t="s">
        <v>80</v>
      </c>
      <c r="B44" s="2" t="s">
        <v>11</v>
      </c>
      <c r="C44" s="2" t="s">
        <v>12</v>
      </c>
      <c r="D44" s="2">
        <v>30000</v>
      </c>
      <c r="E44" s="2">
        <v>17</v>
      </c>
      <c r="F44" s="2" t="s">
        <v>32</v>
      </c>
    </row>
    <row r="45" spans="1:6" x14ac:dyDescent="0.3">
      <c r="A45" s="2" t="s">
        <v>81</v>
      </c>
      <c r="B45" s="2" t="s">
        <v>49</v>
      </c>
      <c r="C45" s="2" t="s">
        <v>16</v>
      </c>
      <c r="D45" s="2">
        <v>29000</v>
      </c>
      <c r="E45" s="2">
        <v>8</v>
      </c>
      <c r="F45" s="2" t="s">
        <v>32</v>
      </c>
    </row>
    <row r="46" spans="1:6" x14ac:dyDescent="0.3">
      <c r="A46" s="2" t="s">
        <v>82</v>
      </c>
      <c r="B46" s="2" t="s">
        <v>11</v>
      </c>
      <c r="C46" s="2" t="s">
        <v>8</v>
      </c>
      <c r="D46" s="2">
        <v>46000</v>
      </c>
      <c r="E46" s="2">
        <v>17</v>
      </c>
      <c r="F46" s="2" t="s">
        <v>13</v>
      </c>
    </row>
    <row r="47" spans="1:6" x14ac:dyDescent="0.3">
      <c r="A47" s="2" t="s">
        <v>83</v>
      </c>
      <c r="B47" s="2" t="s">
        <v>35</v>
      </c>
      <c r="C47" s="2" t="s">
        <v>36</v>
      </c>
      <c r="D47" s="2">
        <v>52000</v>
      </c>
      <c r="E47" s="2">
        <v>0</v>
      </c>
      <c r="F47" s="2" t="s">
        <v>13</v>
      </c>
    </row>
    <row r="48" spans="1:6" x14ac:dyDescent="0.3">
      <c r="A48" s="2" t="s">
        <v>84</v>
      </c>
      <c r="B48" s="2" t="s">
        <v>11</v>
      </c>
      <c r="C48" s="2" t="s">
        <v>12</v>
      </c>
      <c r="D48" s="2">
        <v>44000</v>
      </c>
      <c r="E48" s="2">
        <v>15</v>
      </c>
      <c r="F48" s="2" t="s">
        <v>32</v>
      </c>
    </row>
    <row r="49" spans="1:6" x14ac:dyDescent="0.3">
      <c r="A49" s="2" t="s">
        <v>85</v>
      </c>
      <c r="B49" s="2" t="s">
        <v>18</v>
      </c>
      <c r="C49" s="2" t="s">
        <v>16</v>
      </c>
      <c r="D49" s="2">
        <v>75000</v>
      </c>
      <c r="E49" s="2">
        <v>1</v>
      </c>
      <c r="F49" s="2" t="s">
        <v>41</v>
      </c>
    </row>
    <row r="50" spans="1:6" x14ac:dyDescent="0.3">
      <c r="A50" s="2" t="s">
        <v>86</v>
      </c>
      <c r="B50" s="2" t="s">
        <v>87</v>
      </c>
      <c r="C50" s="2" t="s">
        <v>16</v>
      </c>
      <c r="D50" s="2">
        <v>62000</v>
      </c>
      <c r="E50" s="2">
        <v>17</v>
      </c>
      <c r="F50" s="2" t="s">
        <v>32</v>
      </c>
    </row>
    <row r="51" spans="1:6" x14ac:dyDescent="0.3">
      <c r="A51" s="2" t="s">
        <v>88</v>
      </c>
      <c r="B51" s="2" t="s">
        <v>49</v>
      </c>
      <c r="C51" s="2" t="s">
        <v>12</v>
      </c>
      <c r="D51" s="2">
        <v>36000</v>
      </c>
      <c r="E51" s="2">
        <v>6</v>
      </c>
      <c r="F51" s="2" t="s">
        <v>64</v>
      </c>
    </row>
    <row r="52" spans="1:6" x14ac:dyDescent="0.3">
      <c r="A52" s="2" t="s">
        <v>89</v>
      </c>
      <c r="B52" s="2" t="s">
        <v>15</v>
      </c>
      <c r="C52" s="2" t="s">
        <v>36</v>
      </c>
      <c r="D52" s="2">
        <v>52000</v>
      </c>
      <c r="E52" s="2">
        <v>1</v>
      </c>
      <c r="F52" s="2" t="s">
        <v>24</v>
      </c>
    </row>
    <row r="53" spans="1:6" x14ac:dyDescent="0.3">
      <c r="A53" s="2" t="s">
        <v>90</v>
      </c>
      <c r="B53" s="2" t="s">
        <v>35</v>
      </c>
      <c r="C53" s="2" t="s">
        <v>56</v>
      </c>
      <c r="D53" s="2">
        <v>23000</v>
      </c>
      <c r="E53" s="2">
        <v>5</v>
      </c>
      <c r="F53" s="2" t="s">
        <v>13</v>
      </c>
    </row>
    <row r="54" spans="1:6" x14ac:dyDescent="0.3">
      <c r="A54" s="2" t="s">
        <v>91</v>
      </c>
      <c r="B54" s="2" t="s">
        <v>30</v>
      </c>
      <c r="C54" s="2" t="s">
        <v>8</v>
      </c>
      <c r="D54" s="2">
        <v>61000</v>
      </c>
      <c r="E54" s="2">
        <v>7</v>
      </c>
      <c r="F54" s="2" t="s">
        <v>51</v>
      </c>
    </row>
    <row r="55" spans="1:6" x14ac:dyDescent="0.3">
      <c r="A55" s="2" t="s">
        <v>92</v>
      </c>
      <c r="B55" s="2" t="s">
        <v>7</v>
      </c>
      <c r="C55" s="2" t="s">
        <v>56</v>
      </c>
      <c r="D55" s="2">
        <v>33000</v>
      </c>
      <c r="E55" s="2">
        <v>18</v>
      </c>
      <c r="F55" s="2" t="s">
        <v>64</v>
      </c>
    </row>
    <row r="56" spans="1:6" x14ac:dyDescent="0.3">
      <c r="A56" s="2" t="s">
        <v>93</v>
      </c>
      <c r="B56" s="2" t="s">
        <v>30</v>
      </c>
      <c r="C56" s="2" t="s">
        <v>8</v>
      </c>
      <c r="D56" s="2">
        <v>44000</v>
      </c>
      <c r="E56" s="2">
        <v>18</v>
      </c>
      <c r="F56" s="2" t="s">
        <v>24</v>
      </c>
    </row>
    <row r="57" spans="1:6" x14ac:dyDescent="0.3">
      <c r="A57" s="2" t="s">
        <v>94</v>
      </c>
      <c r="B57" s="2" t="s">
        <v>26</v>
      </c>
      <c r="C57" s="2" t="s">
        <v>16</v>
      </c>
      <c r="D57" s="2">
        <v>26000</v>
      </c>
      <c r="E57" s="2">
        <v>9</v>
      </c>
      <c r="F57" s="2" t="s">
        <v>32</v>
      </c>
    </row>
    <row r="58" spans="1:6" x14ac:dyDescent="0.3">
      <c r="A58" s="2" t="s">
        <v>95</v>
      </c>
      <c r="B58" s="2" t="s">
        <v>46</v>
      </c>
      <c r="C58" s="2" t="s">
        <v>8</v>
      </c>
      <c r="D58" s="2">
        <v>18000</v>
      </c>
      <c r="E58" s="2">
        <v>14</v>
      </c>
      <c r="F58" s="2" t="s">
        <v>13</v>
      </c>
    </row>
    <row r="59" spans="1:6" x14ac:dyDescent="0.3">
      <c r="A59" s="2" t="s">
        <v>96</v>
      </c>
      <c r="B59" s="2" t="s">
        <v>28</v>
      </c>
      <c r="C59" s="2" t="s">
        <v>56</v>
      </c>
      <c r="D59" s="2">
        <v>31000</v>
      </c>
      <c r="E59" s="2">
        <v>16</v>
      </c>
      <c r="F59" s="2" t="s">
        <v>21</v>
      </c>
    </row>
    <row r="60" spans="1:6" x14ac:dyDescent="0.3">
      <c r="A60" s="2" t="s">
        <v>97</v>
      </c>
      <c r="B60" s="2" t="s">
        <v>49</v>
      </c>
      <c r="C60" s="2" t="s">
        <v>31</v>
      </c>
      <c r="D60" s="2">
        <v>74000</v>
      </c>
      <c r="E60" s="2">
        <v>2</v>
      </c>
      <c r="F60" s="2" t="s">
        <v>9</v>
      </c>
    </row>
    <row r="61" spans="1:6" x14ac:dyDescent="0.3">
      <c r="A61" s="2" t="s">
        <v>98</v>
      </c>
      <c r="B61" s="2" t="s">
        <v>39</v>
      </c>
      <c r="C61" s="2" t="s">
        <v>31</v>
      </c>
      <c r="D61" s="2">
        <v>28000</v>
      </c>
      <c r="E61" s="2">
        <v>14</v>
      </c>
      <c r="F61" s="2" t="s">
        <v>21</v>
      </c>
    </row>
    <row r="62" spans="1:6" x14ac:dyDescent="0.3">
      <c r="A62" s="2" t="s">
        <v>99</v>
      </c>
      <c r="B62" s="2" t="s">
        <v>30</v>
      </c>
      <c r="C62" s="2" t="s">
        <v>36</v>
      </c>
      <c r="D62" s="2">
        <v>51000</v>
      </c>
      <c r="E62" s="2">
        <v>0</v>
      </c>
      <c r="F62" s="2" t="s">
        <v>21</v>
      </c>
    </row>
    <row r="63" spans="1:6" x14ac:dyDescent="0.3">
      <c r="A63" s="2" t="s">
        <v>100</v>
      </c>
      <c r="B63" s="2" t="s">
        <v>7</v>
      </c>
      <c r="C63" s="2" t="s">
        <v>12</v>
      </c>
      <c r="D63" s="2">
        <v>34000</v>
      </c>
      <c r="E63" s="2">
        <v>3</v>
      </c>
      <c r="F63" s="2" t="s">
        <v>13</v>
      </c>
    </row>
    <row r="64" spans="1:6" x14ac:dyDescent="0.3">
      <c r="A64" s="2" t="s">
        <v>101</v>
      </c>
      <c r="B64" s="2" t="s">
        <v>46</v>
      </c>
      <c r="C64" s="2" t="s">
        <v>12</v>
      </c>
      <c r="D64" s="2">
        <v>61000</v>
      </c>
      <c r="E64" s="2">
        <v>8</v>
      </c>
      <c r="F64" s="2" t="s">
        <v>32</v>
      </c>
    </row>
    <row r="65" spans="1:6" x14ac:dyDescent="0.3">
      <c r="A65" s="2" t="s">
        <v>102</v>
      </c>
      <c r="B65" s="2" t="s">
        <v>26</v>
      </c>
      <c r="C65" s="2" t="s">
        <v>8</v>
      </c>
      <c r="D65" s="2">
        <v>23000</v>
      </c>
      <c r="E65" s="2">
        <v>13</v>
      </c>
      <c r="F65" s="2" t="s">
        <v>21</v>
      </c>
    </row>
    <row r="66" spans="1:6" x14ac:dyDescent="0.3">
      <c r="A66" s="2" t="s">
        <v>103</v>
      </c>
      <c r="B66" s="2" t="s">
        <v>35</v>
      </c>
      <c r="C66" s="2" t="s">
        <v>8</v>
      </c>
      <c r="D66" s="2">
        <v>39000</v>
      </c>
      <c r="E66" s="2">
        <v>4</v>
      </c>
      <c r="F66" s="2" t="s">
        <v>21</v>
      </c>
    </row>
    <row r="67" spans="1:6" x14ac:dyDescent="0.3">
      <c r="A67" s="2" t="s">
        <v>104</v>
      </c>
      <c r="B67" s="2" t="s">
        <v>55</v>
      </c>
      <c r="C67" s="2" t="s">
        <v>36</v>
      </c>
      <c r="D67" s="2">
        <v>46000</v>
      </c>
      <c r="E67" s="2">
        <v>17</v>
      </c>
      <c r="F67" s="2" t="s">
        <v>51</v>
      </c>
    </row>
    <row r="68" spans="1:6" x14ac:dyDescent="0.3">
      <c r="A68" s="2" t="s">
        <v>105</v>
      </c>
      <c r="B68" s="2" t="s">
        <v>20</v>
      </c>
      <c r="C68" s="2" t="s">
        <v>8</v>
      </c>
      <c r="D68" s="2">
        <v>71000</v>
      </c>
      <c r="E68" s="2">
        <v>11</v>
      </c>
      <c r="F68" s="2" t="s">
        <v>41</v>
      </c>
    </row>
    <row r="69" spans="1:6" x14ac:dyDescent="0.3">
      <c r="A69" s="2" t="s">
        <v>106</v>
      </c>
      <c r="B69" s="2" t="s">
        <v>79</v>
      </c>
      <c r="C69" s="2" t="s">
        <v>12</v>
      </c>
      <c r="D69" s="2">
        <v>20000</v>
      </c>
      <c r="E69" s="2">
        <v>9</v>
      </c>
      <c r="F69" s="2" t="s">
        <v>24</v>
      </c>
    </row>
    <row r="70" spans="1:6" x14ac:dyDescent="0.3">
      <c r="A70" s="2" t="s">
        <v>107</v>
      </c>
      <c r="B70" s="2" t="s">
        <v>35</v>
      </c>
      <c r="C70" s="2" t="s">
        <v>31</v>
      </c>
      <c r="D70" s="2">
        <v>31000</v>
      </c>
      <c r="E70" s="2">
        <v>7</v>
      </c>
      <c r="F70" s="2" t="s">
        <v>13</v>
      </c>
    </row>
    <row r="71" spans="1:6" x14ac:dyDescent="0.3">
      <c r="A71" s="2" t="s">
        <v>108</v>
      </c>
      <c r="B71" s="2" t="s">
        <v>39</v>
      </c>
      <c r="C71" s="2" t="s">
        <v>56</v>
      </c>
      <c r="D71" s="2">
        <v>74000</v>
      </c>
      <c r="E71" s="2">
        <v>13</v>
      </c>
      <c r="F71" s="2" t="s">
        <v>41</v>
      </c>
    </row>
    <row r="72" spans="1:6" x14ac:dyDescent="0.3">
      <c r="A72" s="2" t="s">
        <v>109</v>
      </c>
      <c r="B72" s="2" t="s">
        <v>11</v>
      </c>
      <c r="C72" s="2" t="s">
        <v>12</v>
      </c>
      <c r="D72" s="2">
        <v>69000</v>
      </c>
      <c r="E72" s="2">
        <v>5</v>
      </c>
      <c r="F72" s="2" t="s">
        <v>51</v>
      </c>
    </row>
    <row r="73" spans="1:6" x14ac:dyDescent="0.3">
      <c r="A73" s="2" t="s">
        <v>110</v>
      </c>
      <c r="B73" s="2" t="s">
        <v>11</v>
      </c>
      <c r="C73" s="2" t="s">
        <v>31</v>
      </c>
      <c r="D73" s="2">
        <v>28000</v>
      </c>
      <c r="E73" s="2">
        <v>3</v>
      </c>
      <c r="F73" s="2" t="s">
        <v>51</v>
      </c>
    </row>
    <row r="74" spans="1:6" x14ac:dyDescent="0.3">
      <c r="A74" s="2" t="s">
        <v>111</v>
      </c>
      <c r="B74" s="2" t="s">
        <v>35</v>
      </c>
      <c r="C74" s="2" t="s">
        <v>16</v>
      </c>
      <c r="D74" s="2">
        <v>32000</v>
      </c>
      <c r="E74" s="2">
        <v>6</v>
      </c>
      <c r="F74" s="2" t="s">
        <v>32</v>
      </c>
    </row>
    <row r="75" spans="1:6" x14ac:dyDescent="0.3">
      <c r="A75" s="2" t="s">
        <v>112</v>
      </c>
      <c r="B75" s="2" t="s">
        <v>39</v>
      </c>
      <c r="C75" s="2" t="s">
        <v>31</v>
      </c>
      <c r="D75" s="2">
        <v>70000</v>
      </c>
      <c r="E75" s="2">
        <v>7</v>
      </c>
      <c r="F75" s="2" t="s">
        <v>9</v>
      </c>
    </row>
    <row r="76" spans="1:6" x14ac:dyDescent="0.3">
      <c r="A76" s="2" t="s">
        <v>113</v>
      </c>
      <c r="B76" s="2" t="s">
        <v>23</v>
      </c>
      <c r="C76" s="2" t="s">
        <v>36</v>
      </c>
      <c r="D76" s="2">
        <v>30000</v>
      </c>
      <c r="E76" s="2">
        <v>12</v>
      </c>
      <c r="F76" s="2" t="s">
        <v>24</v>
      </c>
    </row>
    <row r="77" spans="1:6" x14ac:dyDescent="0.3">
      <c r="A77" s="2" t="s">
        <v>114</v>
      </c>
      <c r="B77" s="2" t="s">
        <v>26</v>
      </c>
      <c r="C77" s="2" t="s">
        <v>8</v>
      </c>
      <c r="D77" s="2">
        <v>67000</v>
      </c>
      <c r="E77" s="2">
        <v>8</v>
      </c>
      <c r="F77" s="2" t="s">
        <v>24</v>
      </c>
    </row>
    <row r="78" spans="1:6" x14ac:dyDescent="0.3">
      <c r="A78" s="2" t="s">
        <v>115</v>
      </c>
      <c r="B78" s="2" t="s">
        <v>23</v>
      </c>
      <c r="C78" s="2" t="s">
        <v>8</v>
      </c>
      <c r="D78" s="2">
        <v>74000</v>
      </c>
      <c r="E78" s="2">
        <v>8</v>
      </c>
      <c r="F78" s="2" t="s">
        <v>41</v>
      </c>
    </row>
    <row r="79" spans="1:6" x14ac:dyDescent="0.3">
      <c r="A79" s="2" t="s">
        <v>116</v>
      </c>
      <c r="B79" s="2" t="s">
        <v>15</v>
      </c>
      <c r="C79" s="2" t="s">
        <v>31</v>
      </c>
      <c r="D79" s="2">
        <v>20000</v>
      </c>
      <c r="E79" s="2">
        <v>3</v>
      </c>
      <c r="F79" s="2" t="s">
        <v>51</v>
      </c>
    </row>
    <row r="80" spans="1:6" x14ac:dyDescent="0.3">
      <c r="A80" s="2" t="s">
        <v>117</v>
      </c>
      <c r="B80" s="2" t="s">
        <v>39</v>
      </c>
      <c r="C80" s="2" t="s">
        <v>36</v>
      </c>
      <c r="D80" s="2">
        <v>68000</v>
      </c>
      <c r="E80" s="2">
        <v>10</v>
      </c>
      <c r="F80" s="2" t="s">
        <v>51</v>
      </c>
    </row>
    <row r="81" spans="1:6" x14ac:dyDescent="0.3">
      <c r="A81" s="2" t="s">
        <v>118</v>
      </c>
      <c r="B81" s="2" t="s">
        <v>30</v>
      </c>
      <c r="C81" s="2" t="s">
        <v>56</v>
      </c>
      <c r="D81" s="2">
        <v>25000</v>
      </c>
      <c r="E81" s="2">
        <v>12</v>
      </c>
      <c r="F81" s="2" t="s">
        <v>9</v>
      </c>
    </row>
    <row r="82" spans="1:6" x14ac:dyDescent="0.3">
      <c r="A82" s="2" t="s">
        <v>119</v>
      </c>
      <c r="B82" s="2" t="s">
        <v>62</v>
      </c>
      <c r="C82" s="2" t="s">
        <v>56</v>
      </c>
      <c r="D82" s="2">
        <v>61000</v>
      </c>
      <c r="E82" s="2">
        <v>6</v>
      </c>
      <c r="F82" s="2" t="s">
        <v>24</v>
      </c>
    </row>
    <row r="83" spans="1:6" x14ac:dyDescent="0.3">
      <c r="A83" s="2" t="s">
        <v>120</v>
      </c>
      <c r="B83" s="2" t="s">
        <v>79</v>
      </c>
      <c r="C83" s="2" t="s">
        <v>8</v>
      </c>
      <c r="D83" s="2">
        <v>60000</v>
      </c>
      <c r="E83" s="2">
        <v>10</v>
      </c>
      <c r="F83" s="2" t="s">
        <v>24</v>
      </c>
    </row>
    <row r="84" spans="1:6" x14ac:dyDescent="0.3">
      <c r="A84" s="2" t="s">
        <v>121</v>
      </c>
      <c r="B84" s="2" t="s">
        <v>7</v>
      </c>
      <c r="C84" s="2" t="s">
        <v>36</v>
      </c>
      <c r="D84" s="2">
        <v>75000</v>
      </c>
      <c r="E84" s="2">
        <v>9</v>
      </c>
      <c r="F84" s="2" t="s">
        <v>21</v>
      </c>
    </row>
    <row r="85" spans="1:6" x14ac:dyDescent="0.3">
      <c r="A85" s="2" t="s">
        <v>122</v>
      </c>
      <c r="B85" s="2" t="s">
        <v>18</v>
      </c>
      <c r="C85" s="2" t="s">
        <v>16</v>
      </c>
      <c r="D85" s="2">
        <v>60000</v>
      </c>
      <c r="E85" s="2">
        <v>12</v>
      </c>
      <c r="F85" s="2" t="s">
        <v>41</v>
      </c>
    </row>
    <row r="86" spans="1:6" x14ac:dyDescent="0.3">
      <c r="A86" s="2" t="s">
        <v>123</v>
      </c>
      <c r="B86" s="2" t="s">
        <v>30</v>
      </c>
      <c r="C86" s="2" t="s">
        <v>56</v>
      </c>
      <c r="D86" s="2">
        <v>37000</v>
      </c>
      <c r="E86" s="2">
        <v>12</v>
      </c>
      <c r="F86" s="2" t="s">
        <v>64</v>
      </c>
    </row>
  </sheetData>
  <autoFilter ref="A1:F86" xr:uid="{00000000-0009-0000-0000-000000000000}"/>
  <mergeCells count="5">
    <mergeCell ref="H1:I1"/>
    <mergeCell ref="H2:I2"/>
    <mergeCell ref="H4:I4"/>
    <mergeCell ref="H5:I5"/>
    <mergeCell ref="H7:I7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1F13-FE1A-4A16-B5FD-D479202E7A54}">
  <dimension ref="A1:E10"/>
  <sheetViews>
    <sheetView tabSelected="1"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3" width="26.21875" bestFit="1" customWidth="1"/>
    <col min="4" max="4" width="29.33203125" bestFit="1" customWidth="1"/>
    <col min="5" max="5" width="26.109375" bestFit="1" customWidth="1"/>
    <col min="6" max="20" width="6" bestFit="1" customWidth="1"/>
    <col min="21" max="21" width="26.21875" bestFit="1" customWidth="1"/>
    <col min="22" max="24" width="7" bestFit="1" customWidth="1"/>
    <col min="25" max="25" width="6" bestFit="1" customWidth="1"/>
    <col min="26" max="34" width="7" bestFit="1" customWidth="1"/>
    <col min="35" max="37" width="6" bestFit="1" customWidth="1"/>
    <col min="38" max="39" width="7" bestFit="1" customWidth="1"/>
    <col min="40" max="40" width="29.33203125" bestFit="1" customWidth="1"/>
    <col min="41" max="41" width="12" bestFit="1" customWidth="1"/>
    <col min="42" max="42" width="6" bestFit="1" customWidth="1"/>
    <col min="43" max="43" width="12" bestFit="1" customWidth="1"/>
    <col min="44" max="46" width="6" bestFit="1" customWidth="1"/>
    <col min="47" max="47" width="12" bestFit="1" customWidth="1"/>
    <col min="48" max="52" width="6" bestFit="1" customWidth="1"/>
    <col min="53" max="53" width="12" bestFit="1" customWidth="1"/>
    <col min="54" max="58" width="6" bestFit="1" customWidth="1"/>
    <col min="59" max="59" width="26.109375" bestFit="1" customWidth="1"/>
    <col min="60" max="77" width="6" bestFit="1" customWidth="1"/>
    <col min="78" max="78" width="29.5546875" bestFit="1" customWidth="1"/>
    <col min="79" max="79" width="31" bestFit="1" customWidth="1"/>
    <col min="80" max="80" width="34.21875" bestFit="1" customWidth="1"/>
    <col min="81" max="81" width="30.88671875" bestFit="1" customWidth="1"/>
  </cols>
  <sheetData>
    <row r="1" spans="1:5" x14ac:dyDescent="0.3">
      <c r="A1" s="4" t="s">
        <v>5</v>
      </c>
      <c r="B1" t="s">
        <v>130</v>
      </c>
    </row>
    <row r="3" spans="1:5" x14ac:dyDescent="0.3">
      <c r="A3" s="7" t="s">
        <v>127</v>
      </c>
      <c r="B3" s="7" t="s">
        <v>133</v>
      </c>
      <c r="C3" s="7" t="s">
        <v>129</v>
      </c>
      <c r="D3" s="7" t="s">
        <v>131</v>
      </c>
      <c r="E3" s="7" t="s">
        <v>132</v>
      </c>
    </row>
    <row r="4" spans="1:5" x14ac:dyDescent="0.3">
      <c r="A4" s="5" t="s">
        <v>16</v>
      </c>
      <c r="B4" s="6">
        <v>20000</v>
      </c>
      <c r="C4" s="6">
        <v>577000</v>
      </c>
      <c r="D4" s="6">
        <v>44384.615384615383</v>
      </c>
      <c r="E4" s="6">
        <v>75000</v>
      </c>
    </row>
    <row r="5" spans="1:5" x14ac:dyDescent="0.3">
      <c r="A5" s="5" t="s">
        <v>12</v>
      </c>
      <c r="B5" s="6">
        <v>20000</v>
      </c>
      <c r="C5" s="6">
        <v>595000</v>
      </c>
      <c r="D5" s="6">
        <v>42500</v>
      </c>
      <c r="E5" s="6">
        <v>69000</v>
      </c>
    </row>
    <row r="6" spans="1:5" x14ac:dyDescent="0.3">
      <c r="A6" s="5" t="s">
        <v>31</v>
      </c>
      <c r="B6" s="6">
        <v>19000</v>
      </c>
      <c r="C6" s="6">
        <v>592000</v>
      </c>
      <c r="D6" s="6">
        <v>45538.461538461539</v>
      </c>
      <c r="E6" s="6">
        <v>74000</v>
      </c>
    </row>
    <row r="7" spans="1:5" x14ac:dyDescent="0.3">
      <c r="A7" s="5" t="s">
        <v>56</v>
      </c>
      <c r="B7" s="6">
        <v>23000</v>
      </c>
      <c r="C7" s="6">
        <v>416000</v>
      </c>
      <c r="D7" s="6">
        <v>41600</v>
      </c>
      <c r="E7" s="6">
        <v>74000</v>
      </c>
    </row>
    <row r="8" spans="1:5" x14ac:dyDescent="0.3">
      <c r="A8" s="5" t="s">
        <v>36</v>
      </c>
      <c r="B8" s="6">
        <v>30000</v>
      </c>
      <c r="C8" s="6">
        <v>683000</v>
      </c>
      <c r="D8" s="6">
        <v>52538.461538461539</v>
      </c>
      <c r="E8" s="6">
        <v>75000</v>
      </c>
    </row>
    <row r="9" spans="1:5" x14ac:dyDescent="0.3">
      <c r="A9" s="5" t="s">
        <v>8</v>
      </c>
      <c r="B9" s="6">
        <v>18000</v>
      </c>
      <c r="C9" s="6">
        <v>1149000</v>
      </c>
      <c r="D9" s="6">
        <v>52227.272727272728</v>
      </c>
      <c r="E9" s="6">
        <v>75000</v>
      </c>
    </row>
    <row r="10" spans="1:5" x14ac:dyDescent="0.3">
      <c r="A10" s="5" t="s">
        <v>128</v>
      </c>
      <c r="B10" s="6">
        <v>18000</v>
      </c>
      <c r="C10" s="6">
        <v>4012000</v>
      </c>
      <c r="D10" s="6">
        <v>47200</v>
      </c>
      <c r="E10" s="6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Raw_Data_100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Sahid Khan</cp:lastModifiedBy>
  <dcterms:created xsi:type="dcterms:W3CDTF">2026-10-17T14:51:23Z</dcterms:created>
  <dcterms:modified xsi:type="dcterms:W3CDTF">2026-10-17T16:01:10Z</dcterms:modified>
</cp:coreProperties>
</file>